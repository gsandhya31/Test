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andhyagodavarthy/Developer/Nomura/AI_projects_cost/"/>
    </mc:Choice>
  </mc:AlternateContent>
  <xr:revisionPtr revIDLastSave="0" documentId="13_ncr:1_{D75F68AD-5243-1540-A099-8AD3DA2F8BD7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Assumptions" sheetId="1" r:id="rId1"/>
    <sheet name="Cost Model" sheetId="2" r:id="rId2"/>
    <sheet name="Benefits &amp; ROI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1" i="3" l="1"/>
  <c r="D32" i="2"/>
  <c r="B22" i="2"/>
  <c r="B27" i="2" s="1"/>
  <c r="E29" i="2" s="1"/>
  <c r="E15" i="2"/>
  <c r="D10" i="2"/>
  <c r="E10" i="2" s="1"/>
  <c r="D8" i="2"/>
  <c r="E8" i="2" s="1"/>
  <c r="B13" i="1"/>
  <c r="B12" i="1"/>
  <c r="D11" i="2" s="1"/>
  <c r="E11" i="2" s="1"/>
  <c r="B11" i="1"/>
  <c r="D9" i="2" s="1"/>
  <c r="E9" i="2" s="1"/>
  <c r="B10" i="1"/>
  <c r="D7" i="2" s="1"/>
  <c r="E7" i="2" s="1"/>
  <c r="E22" i="3"/>
  <c r="D10" i="3"/>
  <c r="D7" i="3"/>
  <c r="D6" i="3"/>
  <c r="D5" i="3"/>
  <c r="D8" i="3" s="1"/>
  <c r="D12" i="3" s="1"/>
  <c r="E15" i="3" l="1"/>
  <c r="E14" i="3"/>
  <c r="E24" i="3" s="1"/>
  <c r="E13" i="3"/>
  <c r="D5" i="2"/>
  <c r="E5" i="2" s="1"/>
  <c r="D33" i="2"/>
  <c r="E33" i="2" s="1"/>
  <c r="D6" i="2"/>
  <c r="E6" i="2" s="1"/>
  <c r="E17" i="2" l="1"/>
  <c r="E32" i="2"/>
  <c r="E34" i="2" s="1"/>
  <c r="E29" i="3" s="1"/>
  <c r="E30" i="3"/>
  <c r="E25" i="3"/>
  <c r="E39" i="2" l="1"/>
  <c r="E28" i="3"/>
</calcChain>
</file>

<file path=xl/sharedStrings.xml><?xml version="1.0" encoding="utf-8"?>
<sst xmlns="http://schemas.openxmlformats.org/spreadsheetml/2006/main" count="190" uniqueCount="163">
  <si>
    <t xml:space="preserve">Assumptions &amp; Rate Card </t>
  </si>
  <si>
    <t>Assumption</t>
  </si>
  <si>
    <t>Value</t>
  </si>
  <si>
    <t>Unit</t>
  </si>
  <si>
    <t>Notes / source</t>
  </si>
  <si>
    <t>RATE CARD (enter annual cost to company)</t>
  </si>
  <si>
    <t>Annual cost - developer/builder</t>
  </si>
  <si>
    <t>INR/yr</t>
  </si>
  <si>
    <t>30 LPA per user. Cost of the person who builds.</t>
  </si>
  <si>
    <t>loaded cost = ? CTC x what factor?</t>
  </si>
  <si>
    <t>Annual cost - business user / SME</t>
  </si>
  <si>
    <t>40 LPA per user. Ops SME doing UAT, training, parallel run.</t>
  </si>
  <si>
    <t>Annual cost - governance/risk reviewer</t>
  </si>
  <si>
    <t>60 LPA per user. AI governance, model risk, InfoSec reviewers.</t>
  </si>
  <si>
    <t>Working days per month</t>
  </si>
  <si>
    <t>days</t>
  </si>
  <si>
    <t>Used to convert annual cost to daily rate.</t>
  </si>
  <si>
    <t>Working hours per day</t>
  </si>
  <si>
    <t>hrs</t>
  </si>
  <si>
    <t>Used to convert daily rate to hourly rate.</t>
  </si>
  <si>
    <t>Derived daily rate - developer</t>
  </si>
  <si>
    <t>INR/day</t>
  </si>
  <si>
    <t>Annual cost / (12 x working days per month).</t>
  </si>
  <si>
    <t>Derived daily rate - SME</t>
  </si>
  <si>
    <t>Derived daily rate - governance</t>
  </si>
  <si>
    <t>Derived hourly rate - ops user (benefits)</t>
  </si>
  <si>
    <t>INR/hr</t>
  </si>
  <si>
    <t>Assumed same band as SME; used to value hours saved.</t>
  </si>
  <si>
    <t>BENEFIT FACTORS</t>
  </si>
  <si>
    <t>Realisation factor (reference only)</t>
  </si>
  <si>
    <t>%</t>
  </si>
  <si>
    <t>No longer used in formulas - Benefits &amp; ROI now shows value of hours at 100% / 70% / 50% directly (editable there).</t>
  </si>
  <si>
    <t>Year-1 adoption factor</t>
  </si>
  <si>
    <t>Benefits don't start at 100% at go-live; year 1 typically achieves 50-70% as usage ramps. Years 2+ assumed 100%.</t>
  </si>
  <si>
    <t>OTHER FACTORS</t>
  </si>
  <si>
    <t>Annual fixes &amp; enhancements factor (% of build+design cost)</t>
  </si>
  <si>
    <t>Norm 15-25% per year when actuals unknown.</t>
  </si>
  <si>
    <t>Evaluation horizon (years)</t>
  </si>
  <si>
    <t>years</t>
  </si>
  <si>
    <t>Drives every 'N-year' label and calculation.</t>
  </si>
  <si>
    <t xml:space="preserve">3yrs cost or more? </t>
  </si>
  <si>
    <t>LEGEND</t>
  </si>
  <si>
    <t>Blue text on yellow fill = input cell, edit these</t>
  </si>
  <si>
    <t>Black text = formula, do not overwrite</t>
  </si>
  <si>
    <t>Green text = pulls from another sheet</t>
  </si>
  <si>
    <t xml:space="preserve">Cost Model - AI Use Case  |  Example values shown </t>
  </si>
  <si>
    <t>ONE-TIME (BUILD PHASE) COSTS</t>
  </si>
  <si>
    <t>Cost item</t>
  </si>
  <si>
    <t>Effort (days)</t>
  </si>
  <si>
    <t>Rate basis</t>
  </si>
  <si>
    <t>Rate (INR/day)</t>
  </si>
  <si>
    <t>Cost (INR)</t>
  </si>
  <si>
    <t>Notes</t>
  </si>
  <si>
    <t>Analysis &amp; design</t>
  </si>
  <si>
    <t>Developer</t>
  </si>
  <si>
    <t>Requirements, process mapping, solution design.</t>
  </si>
  <si>
    <t>Development / build</t>
  </si>
  <si>
    <t>Core dev effort incl. prompt/eval iteration.</t>
  </si>
  <si>
    <t>Data preparation &amp; access setup</t>
  </si>
  <si>
    <t>Data cleanup, labeling, entitlements, API/folder access.</t>
  </si>
  <si>
    <t>Testing / UAT (business users)</t>
  </si>
  <si>
    <t>SME</t>
  </si>
  <si>
    <t>Ops users' testing time - often forgotten.</t>
  </si>
  <si>
    <t>Change management &amp; training</t>
  </si>
  <si>
    <t>User training, SOP/procedure updates.</t>
  </si>
  <si>
    <t>Parallel run (old + new side by side)</t>
  </si>
  <si>
    <t>Double-running cost during cutover. Pure extra effort.</t>
  </si>
  <si>
    <t>Governance &amp; validation</t>
  </si>
  <si>
    <t>Governance</t>
  </si>
  <si>
    <t>AI/model risk review, InfoSec, records mgmt, approvals.</t>
  </si>
  <si>
    <t>Dev &amp; test: total AI requests/calls</t>
  </si>
  <si>
    <t>requests</t>
  </si>
  <si>
    <t>All AI calls across development iterations + testing.</t>
  </si>
  <si>
    <t>Dev &amp; test: avg input tokens per request</t>
  </si>
  <si>
    <t>tokens</t>
  </si>
  <si>
    <t>Dev &amp; test: avg output tokens per request</t>
  </si>
  <si>
    <t>Token / AI usage cost during dev &amp; test</t>
  </si>
  <si>
    <t>Requests x (input tokens x input price + output tokens x output price). Prices taken from the production price cells below.</t>
  </si>
  <si>
    <t>One-time purchases (tools, data licences, one-off fees)</t>
  </si>
  <si>
    <t>One-off cash spend incl. any data licensing setup.</t>
  </si>
  <si>
    <t>TOTAL ONE-TIME COST</t>
  </si>
  <si>
    <t>ANNUAL MAINTENANCE COSTS (RECURRING, PER YEAR)</t>
  </si>
  <si>
    <t>Production token usage detail</t>
  </si>
  <si>
    <t>Item</t>
  </si>
  <si>
    <t>Requests / interactions per month</t>
  </si>
  <si>
    <t>req/mo</t>
  </si>
  <si>
    <t>How many times the AI is called in production per month.</t>
  </si>
  <si>
    <t>Avg input tokens per request</t>
  </si>
  <si>
    <t>Prompt + context sent in.</t>
  </si>
  <si>
    <t>Avg output tokens per request</t>
  </si>
  <si>
    <t>Response generated.</t>
  </si>
  <si>
    <t>Price per 1M input tokens</t>
  </si>
  <si>
    <t>INR</t>
  </si>
  <si>
    <t>From model provider price card. Placeholder.</t>
  </si>
  <si>
    <t>Price per 1M output tokens</t>
  </si>
  <si>
    <t>Output tokens usually cost 4-5x input. Placeholder.</t>
  </si>
  <si>
    <t>Monthly production token cost</t>
  </si>
  <si>
    <t>INR/mo</t>
  </si>
  <si>
    <t>Requests x (input tokens x input price + output tokens x output price).</t>
  </si>
  <si>
    <t>Qty / basis</t>
  </si>
  <si>
    <t>Unit cost (INR)</t>
  </si>
  <si>
    <t>Annual cost (INR)</t>
  </si>
  <si>
    <t>Token / AI usage in production (from detail above)</t>
  </si>
  <si>
    <t>Monthly token cost x 12. Add licence seats (e.g. Copilot) to Software licences below.</t>
  </si>
  <si>
    <t>Software licences, per year</t>
  </si>
  <si>
    <t>Paid libraries/tools, AI licence seats, recurring data licences.</t>
  </si>
  <si>
    <t>Infrastructure, per year</t>
  </si>
  <si>
    <t>Server/VM or cloud compute; storage &amp; database; networking; dev/UAT/prod environments; monitoring &amp; logging; backup/DR; vector DB; API gateway. Nil if desktop-only.</t>
  </si>
  <si>
    <t>Fixes &amp; enhancements (% of build+design cost)</t>
  </si>
  <si>
    <t>Bug fixes, small enhancements, model/prompt drift upkeep.</t>
  </si>
  <si>
    <t>Annual revalidation (governance re-review, attestation)</t>
  </si>
  <si>
    <t>days/yr</t>
  </si>
  <si>
    <t>Recurring governance cost of keeping an AI use case approved.</t>
  </si>
  <si>
    <t>TOTAL ANNUAL MAINTENANCE COST</t>
  </si>
  <si>
    <t>Human oversight (maker-checker review of AI output) and rework are NOT costed here - they are deducted as hours on the Benefits &amp; ROI sheet. Never count them in both places.</t>
  </si>
  <si>
    <t>COST SUMMARY</t>
  </si>
  <si>
    <t>Months live in Year 1</t>
  </si>
  <si>
    <t>Year-1 cost (one-time + pro-rated annual maintenance)</t>
  </si>
  <si>
    <t>Benefits &amp; ROI</t>
  </si>
  <si>
    <t>STEP 1 - HOURS SAVED AND THEIR VALUE</t>
  </si>
  <si>
    <t>Task saved by AI</t>
  </si>
  <si>
    <t>Min/task</t>
  </si>
  <si>
    <t>Times/day</t>
  </si>
  <si>
    <t>Hrs/month</t>
  </si>
  <si>
    <t>Task 1 (e.g. drafting client email responses)</t>
  </si>
  <si>
    <t>Example: 15 min x 10/day x 21 days / 60 = 52.5 hrs.</t>
  </si>
  <si>
    <t>Task 2 (e.g. reconciliation break investigation)</t>
  </si>
  <si>
    <t>Task 3</t>
  </si>
  <si>
    <t>Add rows as needed; keep the subtotal range updated.</t>
  </si>
  <si>
    <t>Gross hours saved per month</t>
  </si>
  <si>
    <t>Deductions</t>
  </si>
  <si>
    <t>Min/review</t>
  </si>
  <si>
    <t>Reviews/day</t>
  </si>
  <si>
    <t>Less: human oversight / maker-checker review</t>
  </si>
  <si>
    <t>Time a checker spends reviewing AI output before use.</t>
  </si>
  <si>
    <t>Less: exception handling / rework of wrong outputs</t>
  </si>
  <si>
    <t>Hours/month fixing AI errors.</t>
  </si>
  <si>
    <t>NET HOURS SAVED PER MONTH</t>
  </si>
  <si>
    <t>Value of net hours saved (annual) - 100% realisation</t>
  </si>
  <si>
    <t>Net hours x 12 x ops hourly rate x realisation %. 100% = every freed hour productive; 70% = base case used in totals below; 50% = conservative.</t>
  </si>
  <si>
    <t>Value of net hours saved (annual) - 70% realisation</t>
  </si>
  <si>
    <t>Value of net hours saved (annual) - 50% realisation</t>
  </si>
  <si>
    <t>STEP 2 - CASH SAVINGS AND COST AVOIDANCE (ANNUAL)</t>
  </si>
  <si>
    <t>Annual (INR)</t>
  </si>
  <si>
    <t>Cash savings - cancelled licences</t>
  </si>
  <si>
    <t>Licences/subscriptions actually cancelled because of this use case.</t>
  </si>
  <si>
    <t>Cash savings - vendor fees avoided</t>
  </si>
  <si>
    <t>Outsourced work / vendor charges that stop.</t>
  </si>
  <si>
    <t>Cash savings - overtime eliminated</t>
  </si>
  <si>
    <t>Paid overtime that stops.</t>
  </si>
  <si>
    <t>Total cash savings</t>
  </si>
  <si>
    <t>Cost avoidance</t>
  </si>
  <si>
    <t>TOTAL ANNUAL BENEFIT (full adoption)</t>
  </si>
  <si>
    <t>Uses the 70% realisation row as base case. Swap E14 for E13/E15 to see the 100%/50% scenario.</t>
  </si>
  <si>
    <t>Year-1 benefit (x Year-1 adoption factor)</t>
  </si>
  <si>
    <t>STEP 3 - ROI METRICS</t>
  </si>
  <si>
    <t>Total one-time cost</t>
  </si>
  <si>
    <t>Total annual maintenance cost</t>
  </si>
  <si>
    <t>Annual net benefit (excl. one-time cost )</t>
  </si>
  <si>
    <t>Payback period (months)</t>
  </si>
  <si>
    <t xml:space="preserve">Hiring avoided as volumes grow; penalties/claims the firm has actually paid historically x expected reduction (e.g. settlement-fail penalties, interest claims). </t>
  </si>
  <si>
    <t>Usage  may not be 100% in year1</t>
  </si>
  <si>
    <t>One-time cost / annual net benefit x 12 = months until the build investment is recovered.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</si>
</sst>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"/>
    <numFmt numFmtId="166" formatCode="#,##0.0"/>
    <numFmt numFmtId="167" formatCode="#,##0.0;\(#,##0.0\);\-"/>
  </numFmts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1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i/>
      <sz val="9"/>
      <name val="Arial"/>
      <family val="2"/>
      <charset val="1"/>
    </font>
    <font>
      <sz val="10"/>
      <name val="Arial"/>
      <family val="2"/>
    </font>
    <font>
      <i/>
      <sz val="9"/>
      <name val="Arial"/>
      <family val="2"/>
    </font>
    <font>
      <sz val="10"/>
      <color rgb="FF008000"/>
      <name val="Arial"/>
      <family val="2"/>
      <charset val="1"/>
    </font>
    <font>
      <sz val="10"/>
      <color rgb="FF0000FF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4" borderId="0" xfId="0" applyFont="1" applyFill="1"/>
    <xf numFmtId="0" fontId="4" fillId="0" borderId="0" xfId="0" applyFont="1"/>
    <xf numFmtId="164" fontId="5" fillId="5" borderId="1" xfId="0" applyNumberFormat="1" applyFont="1" applyFill="1" applyBorder="1"/>
    <xf numFmtId="0" fontId="6" fillId="0" borderId="0" xfId="0" applyFont="1" applyAlignment="1">
      <alignment vertical="top" wrapText="1"/>
    </xf>
    <xf numFmtId="3" fontId="5" fillId="5" borderId="1" xfId="0" applyNumberFormat="1" applyFont="1" applyFill="1" applyBorder="1"/>
    <xf numFmtId="164" fontId="4" fillId="0" borderId="0" xfId="0" applyNumberFormat="1" applyFont="1"/>
    <xf numFmtId="0" fontId="7" fillId="0" borderId="0" xfId="0" applyFont="1"/>
    <xf numFmtId="165" fontId="5" fillId="5" borderId="1" xfId="0" applyNumberFormat="1" applyFont="1" applyFill="1" applyBorder="1"/>
    <xf numFmtId="0" fontId="8" fillId="0" borderId="0" xfId="0" applyFont="1" applyAlignment="1">
      <alignment vertical="top" wrapText="1"/>
    </xf>
    <xf numFmtId="0" fontId="3" fillId="0" borderId="0" xfId="0" applyFont="1"/>
    <xf numFmtId="0" fontId="5" fillId="5" borderId="0" xfId="0" applyFont="1" applyFill="1"/>
    <xf numFmtId="0" fontId="9" fillId="0" borderId="0" xfId="0" applyFont="1"/>
    <xf numFmtId="166" fontId="5" fillId="5" borderId="1" xfId="0" applyNumberFormat="1" applyFont="1" applyFill="1" applyBorder="1"/>
    <xf numFmtId="164" fontId="9" fillId="0" borderId="0" xfId="0" applyNumberFormat="1" applyFont="1"/>
    <xf numFmtId="3" fontId="10" fillId="5" borderId="1" xfId="0" applyNumberFormat="1" applyFont="1" applyFill="1" applyBorder="1"/>
    <xf numFmtId="164" fontId="7" fillId="0" borderId="0" xfId="0" applyNumberFormat="1" applyFont="1"/>
    <xf numFmtId="0" fontId="2" fillId="0" borderId="0" xfId="0" applyFont="1"/>
    <xf numFmtId="164" fontId="2" fillId="3" borderId="0" xfId="0" applyNumberFormat="1" applyFont="1" applyFill="1"/>
    <xf numFmtId="165" fontId="9" fillId="0" borderId="0" xfId="0" applyNumberFormat="1" applyFont="1"/>
    <xf numFmtId="164" fontId="2" fillId="5" borderId="0" xfId="0" applyNumberFormat="1" applyFont="1" applyFill="1"/>
    <xf numFmtId="167" fontId="4" fillId="0" borderId="0" xfId="0" applyNumberFormat="1" applyFont="1"/>
    <xf numFmtId="167" fontId="2" fillId="0" borderId="0" xfId="0" applyNumberFormat="1" applyFont="1"/>
    <xf numFmtId="167" fontId="5" fillId="5" borderId="1" xfId="0" applyNumberFormat="1" applyFont="1" applyFill="1" applyBorder="1"/>
    <xf numFmtId="167" fontId="2" fillId="3" borderId="0" xfId="0" applyNumberFormat="1" applyFont="1" applyFill="1"/>
    <xf numFmtId="165" fontId="10" fillId="5" borderId="1" xfId="0" applyNumberFormat="1" applyFont="1" applyFill="1" applyBorder="1"/>
    <xf numFmtId="0" fontId="11" fillId="0" borderId="0" xfId="0" applyFont="1"/>
    <xf numFmtId="164" fontId="11" fillId="3" borderId="0" xfId="0" applyNumberFormat="1" applyFont="1" applyFill="1"/>
    <xf numFmtId="164" fontId="2" fillId="0" borderId="0" xfId="0" applyNumberFormat="1" applyFont="1"/>
    <xf numFmtId="167" fontId="2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5" zoomScale="181" zoomScaleNormal="181" workbookViewId="0">
      <selection activeCell="B13" sqref="B13"/>
    </sheetView>
  </sheetViews>
  <sheetFormatPr baseColWidth="10" defaultColWidth="8.6640625" defaultRowHeight="15" x14ac:dyDescent="0.2"/>
  <cols>
    <col min="1" max="1" width="46" customWidth="1"/>
    <col min="2" max="2" width="16" customWidth="1"/>
    <col min="3" max="3" width="12" customWidth="1"/>
    <col min="4" max="4" width="64" customWidth="1"/>
  </cols>
  <sheetData>
    <row r="1" spans="1:5" ht="21.75" customHeight="1" x14ac:dyDescent="0.2">
      <c r="A1" s="1" t="s">
        <v>0</v>
      </c>
      <c r="B1" s="1"/>
      <c r="C1" s="1"/>
      <c r="D1" s="1"/>
    </row>
    <row r="3" spans="1:5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</row>
    <row r="4" spans="1:5" ht="15" customHeight="1" x14ac:dyDescent="0.2">
      <c r="A4" s="3" t="s">
        <v>5</v>
      </c>
    </row>
    <row r="5" spans="1:5" ht="15" customHeight="1" x14ac:dyDescent="0.2">
      <c r="A5" s="4" t="s">
        <v>6</v>
      </c>
      <c r="B5" s="5">
        <v>3000000</v>
      </c>
      <c r="C5" s="4" t="s">
        <v>7</v>
      </c>
      <c r="D5" s="6" t="s">
        <v>8</v>
      </c>
      <c r="E5" t="s">
        <v>9</v>
      </c>
    </row>
    <row r="6" spans="1:5" ht="15" customHeight="1" x14ac:dyDescent="0.2">
      <c r="A6" s="4" t="s">
        <v>10</v>
      </c>
      <c r="B6" s="5">
        <v>4000000</v>
      </c>
      <c r="C6" s="4" t="s">
        <v>7</v>
      </c>
      <c r="D6" s="6" t="s">
        <v>11</v>
      </c>
    </row>
    <row r="7" spans="1:5" ht="15" customHeight="1" x14ac:dyDescent="0.2">
      <c r="A7" s="4" t="s">
        <v>12</v>
      </c>
      <c r="B7" s="5">
        <v>6000000</v>
      </c>
      <c r="C7" s="4" t="s">
        <v>7</v>
      </c>
      <c r="D7" s="6" t="s">
        <v>13</v>
      </c>
    </row>
    <row r="8" spans="1:5" ht="15" customHeight="1" x14ac:dyDescent="0.2">
      <c r="A8" s="4" t="s">
        <v>14</v>
      </c>
      <c r="B8" s="7">
        <v>21</v>
      </c>
      <c r="C8" s="4" t="s">
        <v>15</v>
      </c>
      <c r="D8" s="6" t="s">
        <v>16</v>
      </c>
    </row>
    <row r="9" spans="1:5" ht="15" customHeight="1" x14ac:dyDescent="0.2">
      <c r="A9" s="4" t="s">
        <v>17</v>
      </c>
      <c r="B9" s="7">
        <v>8</v>
      </c>
      <c r="C9" s="4" t="s">
        <v>18</v>
      </c>
      <c r="D9" s="6" t="s">
        <v>19</v>
      </c>
    </row>
    <row r="10" spans="1:5" ht="15" customHeight="1" x14ac:dyDescent="0.2">
      <c r="A10" s="4" t="s">
        <v>20</v>
      </c>
      <c r="B10" s="8">
        <f>B5/(12*B8)</f>
        <v>11904.761904761905</v>
      </c>
      <c r="C10" s="4" t="s">
        <v>21</v>
      </c>
      <c r="D10" s="6" t="s">
        <v>22</v>
      </c>
    </row>
    <row r="11" spans="1:5" ht="15" customHeight="1" x14ac:dyDescent="0.2">
      <c r="A11" s="4" t="s">
        <v>23</v>
      </c>
      <c r="B11" s="8">
        <f>B6/(12*B8)</f>
        <v>15873.015873015873</v>
      </c>
      <c r="C11" s="4" t="s">
        <v>21</v>
      </c>
      <c r="D11" s="6" t="s">
        <v>22</v>
      </c>
    </row>
    <row r="12" spans="1:5" ht="15" customHeight="1" x14ac:dyDescent="0.2">
      <c r="A12" s="4" t="s">
        <v>24</v>
      </c>
      <c r="B12" s="8">
        <f>B7/(12*B8)</f>
        <v>23809.523809523809</v>
      </c>
      <c r="C12" s="4" t="s">
        <v>21</v>
      </c>
      <c r="D12" s="6" t="s">
        <v>22</v>
      </c>
    </row>
    <row r="13" spans="1:5" ht="15" customHeight="1" x14ac:dyDescent="0.2">
      <c r="A13" s="4" t="s">
        <v>25</v>
      </c>
      <c r="B13" s="8">
        <f>B11/B9</f>
        <v>1984.1269841269841</v>
      </c>
      <c r="C13" s="4" t="s">
        <v>26</v>
      </c>
      <c r="D13" s="6" t="s">
        <v>27</v>
      </c>
    </row>
    <row r="14" spans="1:5" ht="15" customHeight="1" x14ac:dyDescent="0.2">
      <c r="A14" s="3" t="s">
        <v>28</v>
      </c>
    </row>
    <row r="15" spans="1:5" ht="51.75" customHeight="1" x14ac:dyDescent="0.2">
      <c r="A15" s="9" t="s">
        <v>29</v>
      </c>
      <c r="B15" s="10">
        <v>0.7</v>
      </c>
      <c r="C15" s="4" t="s">
        <v>30</v>
      </c>
      <c r="D15" s="11" t="s">
        <v>31</v>
      </c>
    </row>
    <row r="16" spans="1:5" ht="25.5" customHeight="1" x14ac:dyDescent="0.2">
      <c r="A16" s="4" t="s">
        <v>32</v>
      </c>
      <c r="B16" s="10">
        <v>0.6</v>
      </c>
      <c r="C16" s="4" t="s">
        <v>30</v>
      </c>
      <c r="D16" s="6" t="s">
        <v>33</v>
      </c>
    </row>
    <row r="17" spans="1:5" ht="15" customHeight="1" x14ac:dyDescent="0.2">
      <c r="A17" s="3" t="s">
        <v>34</v>
      </c>
    </row>
    <row r="18" spans="1:5" ht="15" customHeight="1" x14ac:dyDescent="0.2">
      <c r="A18" s="4" t="s">
        <v>35</v>
      </c>
      <c r="B18" s="10">
        <v>0.2</v>
      </c>
      <c r="C18" s="4" t="s">
        <v>30</v>
      </c>
      <c r="D18" s="6" t="s">
        <v>36</v>
      </c>
    </row>
    <row r="19" spans="1:5" ht="15" customHeight="1" x14ac:dyDescent="0.2">
      <c r="A19" s="4" t="s">
        <v>37</v>
      </c>
      <c r="B19" s="7">
        <v>3</v>
      </c>
      <c r="C19" s="4" t="s">
        <v>38</v>
      </c>
      <c r="D19" s="6" t="s">
        <v>39</v>
      </c>
      <c r="E19" t="s">
        <v>40</v>
      </c>
    </row>
    <row r="21" spans="1:5" ht="15" customHeight="1" x14ac:dyDescent="0.2">
      <c r="A21" s="12" t="s">
        <v>41</v>
      </c>
    </row>
    <row r="22" spans="1:5" ht="15" customHeight="1" x14ac:dyDescent="0.2">
      <c r="A22" s="13" t="s">
        <v>42</v>
      </c>
    </row>
    <row r="23" spans="1:5" ht="15" customHeight="1" x14ac:dyDescent="0.2">
      <c r="A23" s="4" t="s">
        <v>43</v>
      </c>
    </row>
    <row r="24" spans="1:5" ht="15" customHeight="1" x14ac:dyDescent="0.2">
      <c r="A24" s="14" t="s">
        <v>44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topLeftCell="A8" zoomScale="187" zoomScaleNormal="187" workbookViewId="0">
      <selection activeCell="B22" sqref="B22:B26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14" customWidth="1"/>
    <col min="4" max="4" width="16" customWidth="1"/>
    <col min="5" max="5" width="14" customWidth="1"/>
    <col min="6" max="6" width="58" customWidth="1"/>
  </cols>
  <sheetData>
    <row r="1" spans="1:6" ht="21.75" customHeight="1" x14ac:dyDescent="0.2">
      <c r="A1" s="1" t="s">
        <v>45</v>
      </c>
      <c r="B1" s="1"/>
      <c r="C1" s="1"/>
      <c r="D1" s="1"/>
      <c r="E1" s="1"/>
      <c r="F1" s="1"/>
    </row>
    <row r="3" spans="1:6" ht="15" customHeight="1" x14ac:dyDescent="0.2">
      <c r="A3" s="3" t="s">
        <v>46</v>
      </c>
    </row>
    <row r="4" spans="1:6" ht="15" customHeight="1" x14ac:dyDescent="0.2">
      <c r="A4" s="2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</row>
    <row r="5" spans="1:6" ht="15" customHeight="1" x14ac:dyDescent="0.2">
      <c r="A5" s="4" t="s">
        <v>53</v>
      </c>
      <c r="B5" s="15">
        <v>5</v>
      </c>
      <c r="C5" s="4" t="s">
        <v>54</v>
      </c>
      <c r="D5" s="16">
        <f>Assumptions!$B$10</f>
        <v>11904.761904761905</v>
      </c>
      <c r="E5" s="8">
        <f t="shared" ref="E5:E11" si="0">B5*D5</f>
        <v>59523.809523809527</v>
      </c>
      <c r="F5" s="6" t="s">
        <v>55</v>
      </c>
    </row>
    <row r="6" spans="1:6" ht="15" customHeight="1" x14ac:dyDescent="0.2">
      <c r="A6" s="4" t="s">
        <v>56</v>
      </c>
      <c r="B6" s="15">
        <v>25</v>
      </c>
      <c r="C6" s="4" t="s">
        <v>54</v>
      </c>
      <c r="D6" s="16">
        <f>Assumptions!$B$10</f>
        <v>11904.761904761905</v>
      </c>
      <c r="E6" s="8">
        <f t="shared" si="0"/>
        <v>297619.04761904763</v>
      </c>
      <c r="F6" s="6" t="s">
        <v>57</v>
      </c>
    </row>
    <row r="7" spans="1:6" ht="15" customHeight="1" x14ac:dyDescent="0.2">
      <c r="A7" s="4" t="s">
        <v>58</v>
      </c>
      <c r="B7" s="15">
        <v>3</v>
      </c>
      <c r="C7" s="4" t="s">
        <v>54</v>
      </c>
      <c r="D7" s="16">
        <f>Assumptions!$B$10</f>
        <v>11904.761904761905</v>
      </c>
      <c r="E7" s="8">
        <f t="shared" si="0"/>
        <v>35714.28571428571</v>
      </c>
      <c r="F7" s="6" t="s">
        <v>59</v>
      </c>
    </row>
    <row r="8" spans="1:6" ht="15" customHeight="1" x14ac:dyDescent="0.2">
      <c r="A8" s="4" t="s">
        <v>60</v>
      </c>
      <c r="B8" s="15">
        <v>6</v>
      </c>
      <c r="C8" s="4" t="s">
        <v>61</v>
      </c>
      <c r="D8" s="16">
        <f>Assumptions!$B$11</f>
        <v>15873.015873015873</v>
      </c>
      <c r="E8" s="8">
        <f t="shared" si="0"/>
        <v>95238.095238095237</v>
      </c>
      <c r="F8" s="6" t="s">
        <v>62</v>
      </c>
    </row>
    <row r="9" spans="1:6" ht="15" customHeight="1" x14ac:dyDescent="0.2">
      <c r="A9" s="4" t="s">
        <v>63</v>
      </c>
      <c r="B9" s="15">
        <v>3</v>
      </c>
      <c r="C9" s="4" t="s">
        <v>61</v>
      </c>
      <c r="D9" s="16">
        <f>Assumptions!$B$11</f>
        <v>15873.015873015873</v>
      </c>
      <c r="E9" s="8">
        <f t="shared" si="0"/>
        <v>47619.047619047618</v>
      </c>
      <c r="F9" s="6" t="s">
        <v>64</v>
      </c>
    </row>
    <row r="10" spans="1:6" ht="15" customHeight="1" x14ac:dyDescent="0.2">
      <c r="A10" s="4" t="s">
        <v>65</v>
      </c>
      <c r="B10" s="15">
        <v>4</v>
      </c>
      <c r="C10" s="4" t="s">
        <v>61</v>
      </c>
      <c r="D10" s="16">
        <f>Assumptions!$B$11</f>
        <v>15873.015873015873</v>
      </c>
      <c r="E10" s="8">
        <f t="shared" si="0"/>
        <v>63492.063492063491</v>
      </c>
      <c r="F10" s="6" t="s">
        <v>66</v>
      </c>
    </row>
    <row r="11" spans="1:6" ht="15" customHeight="1" x14ac:dyDescent="0.2">
      <c r="A11" s="4" t="s">
        <v>67</v>
      </c>
      <c r="B11" s="15">
        <v>5</v>
      </c>
      <c r="C11" s="4" t="s">
        <v>68</v>
      </c>
      <c r="D11" s="16">
        <f>Assumptions!$B$12</f>
        <v>23809.523809523809</v>
      </c>
      <c r="E11" s="8">
        <f t="shared" si="0"/>
        <v>119047.61904761905</v>
      </c>
      <c r="F11" s="6" t="s">
        <v>69</v>
      </c>
    </row>
    <row r="12" spans="1:6" ht="15" customHeight="1" x14ac:dyDescent="0.2">
      <c r="A12" s="9" t="s">
        <v>70</v>
      </c>
      <c r="B12" s="17">
        <v>3000</v>
      </c>
      <c r="C12" s="9" t="s">
        <v>71</v>
      </c>
      <c r="F12" s="11" t="s">
        <v>72</v>
      </c>
    </row>
    <row r="13" spans="1:6" ht="15" customHeight="1" x14ac:dyDescent="0.2">
      <c r="A13" s="9" t="s">
        <v>73</v>
      </c>
      <c r="B13" s="17">
        <v>2000</v>
      </c>
      <c r="C13" s="9" t="s">
        <v>74</v>
      </c>
    </row>
    <row r="14" spans="1:6" ht="15" customHeight="1" x14ac:dyDescent="0.2">
      <c r="A14" s="9" t="s">
        <v>75</v>
      </c>
      <c r="B14" s="17">
        <v>500</v>
      </c>
      <c r="C14" s="9" t="s">
        <v>74</v>
      </c>
    </row>
    <row r="15" spans="1:6" ht="21.75" customHeight="1" x14ac:dyDescent="0.2">
      <c r="A15" s="4" t="s">
        <v>76</v>
      </c>
      <c r="E15" s="18">
        <f>B12*(B13/1000000*B25+B14/1000000*B26)</f>
        <v>3375</v>
      </c>
      <c r="F15" s="11" t="s">
        <v>77</v>
      </c>
    </row>
    <row r="16" spans="1:6" ht="15" customHeight="1" x14ac:dyDescent="0.2">
      <c r="A16" s="4" t="s">
        <v>78</v>
      </c>
      <c r="E16" s="5">
        <v>0</v>
      </c>
      <c r="F16" s="6" t="s">
        <v>79</v>
      </c>
    </row>
    <row r="17" spans="1:6" ht="15" customHeight="1" x14ac:dyDescent="0.2">
      <c r="A17" s="19" t="s">
        <v>80</v>
      </c>
      <c r="E17" s="20">
        <f>SUM(E5:E16)</f>
        <v>721628.96825396817</v>
      </c>
    </row>
    <row r="19" spans="1:6" ht="15" customHeight="1" x14ac:dyDescent="0.2">
      <c r="A19" s="3" t="s">
        <v>81</v>
      </c>
    </row>
    <row r="20" spans="1:6" ht="15" customHeight="1" x14ac:dyDescent="0.2">
      <c r="A20" s="19" t="s">
        <v>82</v>
      </c>
    </row>
    <row r="21" spans="1:6" ht="15" customHeight="1" x14ac:dyDescent="0.2">
      <c r="A21" s="2" t="s">
        <v>83</v>
      </c>
      <c r="B21" s="2" t="s">
        <v>2</v>
      </c>
      <c r="C21" s="2" t="s">
        <v>3</v>
      </c>
      <c r="D21" s="2"/>
      <c r="E21" s="2"/>
      <c r="F21" s="2" t="s">
        <v>52</v>
      </c>
    </row>
    <row r="22" spans="1:6" ht="15" customHeight="1" x14ac:dyDescent="0.2">
      <c r="A22" s="4" t="s">
        <v>84</v>
      </c>
      <c r="B22" s="7">
        <f>2500*30</f>
        <v>75000</v>
      </c>
      <c r="C22" s="4" t="s">
        <v>85</v>
      </c>
      <c r="F22" s="6" t="s">
        <v>86</v>
      </c>
    </row>
    <row r="23" spans="1:6" ht="15" customHeight="1" x14ac:dyDescent="0.2">
      <c r="A23" s="4" t="s">
        <v>87</v>
      </c>
      <c r="B23" s="7">
        <v>2000</v>
      </c>
      <c r="C23" s="4" t="s">
        <v>74</v>
      </c>
      <c r="F23" s="6" t="s">
        <v>88</v>
      </c>
    </row>
    <row r="24" spans="1:6" ht="15" customHeight="1" x14ac:dyDescent="0.2">
      <c r="A24" s="4" t="s">
        <v>89</v>
      </c>
      <c r="B24" s="7">
        <v>500</v>
      </c>
      <c r="C24" s="4" t="s">
        <v>74</v>
      </c>
      <c r="F24" s="6" t="s">
        <v>90</v>
      </c>
    </row>
    <row r="25" spans="1:6" ht="15" customHeight="1" x14ac:dyDescent="0.2">
      <c r="A25" s="4" t="s">
        <v>91</v>
      </c>
      <c r="B25" s="5">
        <v>250</v>
      </c>
      <c r="C25" s="4" t="s">
        <v>92</v>
      </c>
      <c r="F25" s="6" t="s">
        <v>93</v>
      </c>
    </row>
    <row r="26" spans="1:6" ht="25.5" customHeight="1" x14ac:dyDescent="0.2">
      <c r="A26" s="4" t="s">
        <v>94</v>
      </c>
      <c r="B26" s="5">
        <v>1250</v>
      </c>
      <c r="C26" s="4" t="s">
        <v>92</v>
      </c>
      <c r="F26" s="6" t="s">
        <v>95</v>
      </c>
    </row>
    <row r="27" spans="1:6" ht="15" customHeight="1" x14ac:dyDescent="0.2">
      <c r="A27" s="4" t="s">
        <v>96</v>
      </c>
      <c r="B27" s="8">
        <f>B22*(B23/1000000*B25+B24/1000000*B26)</f>
        <v>84375</v>
      </c>
      <c r="C27" s="4" t="s">
        <v>97</v>
      </c>
      <c r="F27" s="6" t="s">
        <v>98</v>
      </c>
    </row>
    <row r="28" spans="1:6" ht="39" customHeight="1" x14ac:dyDescent="0.2">
      <c r="A28" s="2" t="s">
        <v>47</v>
      </c>
      <c r="B28" s="2" t="s">
        <v>99</v>
      </c>
      <c r="C28" s="2" t="s">
        <v>3</v>
      </c>
      <c r="D28" s="2" t="s">
        <v>100</v>
      </c>
      <c r="E28" s="2" t="s">
        <v>101</v>
      </c>
      <c r="F28" s="2" t="s">
        <v>52</v>
      </c>
    </row>
    <row r="29" spans="1:6" ht="21.75" customHeight="1" x14ac:dyDescent="0.2">
      <c r="A29" s="4" t="s">
        <v>102</v>
      </c>
      <c r="E29" s="8">
        <f>B27*12</f>
        <v>1012500</v>
      </c>
      <c r="F29" s="6" t="s">
        <v>103</v>
      </c>
    </row>
    <row r="30" spans="1:6" ht="15" customHeight="1" x14ac:dyDescent="0.2">
      <c r="A30" s="4" t="s">
        <v>104</v>
      </c>
      <c r="E30" s="5">
        <v>0</v>
      </c>
      <c r="F30" s="6" t="s">
        <v>105</v>
      </c>
    </row>
    <row r="31" spans="1:6" ht="32.25" customHeight="1" x14ac:dyDescent="0.2">
      <c r="A31" s="4" t="s">
        <v>106</v>
      </c>
      <c r="E31" s="5">
        <v>60000</v>
      </c>
      <c r="F31" s="6" t="s">
        <v>107</v>
      </c>
    </row>
    <row r="32" spans="1:6" ht="39" customHeight="1" x14ac:dyDescent="0.2">
      <c r="A32" s="4" t="s">
        <v>108</v>
      </c>
      <c r="D32" s="21">
        <f>Assumptions!$B$18</f>
        <v>0.2</v>
      </c>
      <c r="E32" s="8">
        <f>D32*(E5+E6)</f>
        <v>71428.571428571435</v>
      </c>
      <c r="F32" s="6" t="s">
        <v>109</v>
      </c>
    </row>
    <row r="33" spans="1:6" ht="15" customHeight="1" x14ac:dyDescent="0.2">
      <c r="A33" s="4" t="s">
        <v>110</v>
      </c>
      <c r="B33" s="15">
        <v>1</v>
      </c>
      <c r="C33" s="4" t="s">
        <v>111</v>
      </c>
      <c r="D33" s="16">
        <f>Assumptions!$B$12</f>
        <v>23809.523809523809</v>
      </c>
      <c r="E33" s="8">
        <f>B33*D33</f>
        <v>23809.523809523809</v>
      </c>
      <c r="F33" s="6" t="s">
        <v>112</v>
      </c>
    </row>
    <row r="34" spans="1:6" ht="15" customHeight="1" x14ac:dyDescent="0.2">
      <c r="A34" s="19" t="s">
        <v>113</v>
      </c>
      <c r="E34" s="20">
        <f>SUM(E29:E33)</f>
        <v>1167738.0952380951</v>
      </c>
    </row>
    <row r="35" spans="1:6" ht="32.25" customHeight="1" x14ac:dyDescent="0.2">
      <c r="A35" s="6" t="s">
        <v>114</v>
      </c>
    </row>
    <row r="37" spans="1:6" ht="15" customHeight="1" x14ac:dyDescent="0.2">
      <c r="A37" s="3" t="s">
        <v>115</v>
      </c>
    </row>
    <row r="38" spans="1:6" ht="15" customHeight="1" x14ac:dyDescent="0.2">
      <c r="A38" s="4" t="s">
        <v>116</v>
      </c>
      <c r="B38" s="7">
        <v>12</v>
      </c>
    </row>
    <row r="39" spans="1:6" ht="15" customHeight="1" x14ac:dyDescent="0.2">
      <c r="A39" s="19" t="s">
        <v>117</v>
      </c>
      <c r="E39" s="22">
        <f>E17+E34*B38/12</f>
        <v>1889367.0634920634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topLeftCell="A16" zoomScale="169" zoomScaleNormal="169" workbookViewId="0">
      <selection activeCell="E31" sqref="E31"/>
    </sheetView>
  </sheetViews>
  <sheetFormatPr baseColWidth="10" defaultColWidth="8.6640625" defaultRowHeight="15" x14ac:dyDescent="0.2"/>
  <cols>
    <col min="1" max="1" width="52" customWidth="1"/>
    <col min="2" max="3" width="12" customWidth="1"/>
    <col min="4" max="4" width="16" customWidth="1"/>
    <col min="5" max="5" width="14" customWidth="1"/>
    <col min="6" max="6" width="58" customWidth="1"/>
  </cols>
  <sheetData>
    <row r="1" spans="1:6" ht="21.75" customHeight="1" x14ac:dyDescent="0.2">
      <c r="A1" s="1" t="s">
        <v>118</v>
      </c>
      <c r="B1" s="1"/>
      <c r="C1" s="1"/>
      <c r="D1" s="1"/>
      <c r="E1" s="1"/>
      <c r="F1" s="1"/>
    </row>
    <row r="3" spans="1:6" ht="15" customHeight="1" x14ac:dyDescent="0.2">
      <c r="A3" s="3" t="s">
        <v>119</v>
      </c>
    </row>
    <row r="4" spans="1:6" ht="15" customHeight="1" x14ac:dyDescent="0.2">
      <c r="A4" s="2" t="s">
        <v>120</v>
      </c>
      <c r="B4" s="2" t="s">
        <v>121</v>
      </c>
      <c r="C4" s="2" t="s">
        <v>122</v>
      </c>
      <c r="D4" s="2" t="s">
        <v>123</v>
      </c>
      <c r="E4" s="2"/>
      <c r="F4" s="2" t="s">
        <v>52</v>
      </c>
    </row>
    <row r="5" spans="1:6" ht="15" customHeight="1" x14ac:dyDescent="0.2">
      <c r="A5" s="4" t="s">
        <v>124</v>
      </c>
      <c r="B5" s="7">
        <v>15</v>
      </c>
      <c r="C5" s="15">
        <v>10</v>
      </c>
      <c r="D5" s="23">
        <f>B5*C5*Assumptions!$B$8/60</f>
        <v>52.5</v>
      </c>
      <c r="F5" s="6" t="s">
        <v>125</v>
      </c>
    </row>
    <row r="6" spans="1:6" ht="15" customHeight="1" x14ac:dyDescent="0.2">
      <c r="A6" s="4" t="s">
        <v>126</v>
      </c>
      <c r="B6" s="7">
        <v>10</v>
      </c>
      <c r="C6" s="15">
        <v>2</v>
      </c>
      <c r="D6" s="23">
        <f>B6*C6*Assumptions!$B$8/60</f>
        <v>7</v>
      </c>
      <c r="F6" s="6"/>
    </row>
    <row r="7" spans="1:6" ht="15" customHeight="1" x14ac:dyDescent="0.2">
      <c r="A7" s="4" t="s">
        <v>127</v>
      </c>
      <c r="B7" s="7">
        <v>0</v>
      </c>
      <c r="C7" s="15">
        <v>0</v>
      </c>
      <c r="D7" s="23">
        <f>B7*C7*Assumptions!$B$8/60</f>
        <v>0</v>
      </c>
      <c r="F7" s="6" t="s">
        <v>128</v>
      </c>
    </row>
    <row r="8" spans="1:6" ht="15" customHeight="1" x14ac:dyDescent="0.2">
      <c r="A8" s="19" t="s">
        <v>129</v>
      </c>
      <c r="D8" s="24">
        <f>SUM(D5:D7)</f>
        <v>59.5</v>
      </c>
    </row>
    <row r="9" spans="1:6" ht="15" customHeight="1" x14ac:dyDescent="0.2">
      <c r="A9" s="2" t="s">
        <v>130</v>
      </c>
      <c r="B9" s="2" t="s">
        <v>131</v>
      </c>
      <c r="C9" s="2" t="s">
        <v>132</v>
      </c>
      <c r="D9" s="2" t="s">
        <v>123</v>
      </c>
      <c r="E9" s="2"/>
      <c r="F9" s="2" t="s">
        <v>52</v>
      </c>
    </row>
    <row r="10" spans="1:6" ht="15" customHeight="1" x14ac:dyDescent="0.2">
      <c r="A10" s="4" t="s">
        <v>133</v>
      </c>
      <c r="B10" s="7">
        <v>3</v>
      </c>
      <c r="C10" s="15">
        <v>10</v>
      </c>
      <c r="D10" s="23">
        <f>B10*C10*Assumptions!$B$8/60</f>
        <v>10.5</v>
      </c>
      <c r="F10" s="6" t="s">
        <v>134</v>
      </c>
    </row>
    <row r="11" spans="1:6" ht="15" customHeight="1" x14ac:dyDescent="0.2">
      <c r="A11" s="4" t="s">
        <v>135</v>
      </c>
      <c r="D11" s="25">
        <v>5</v>
      </c>
      <c r="F11" s="6" t="s">
        <v>136</v>
      </c>
    </row>
    <row r="12" spans="1:6" ht="15" customHeight="1" x14ac:dyDescent="0.2">
      <c r="A12" s="19" t="s">
        <v>137</v>
      </c>
      <c r="D12" s="26">
        <f>D8-D10-D11</f>
        <v>44</v>
      </c>
    </row>
    <row r="13" spans="1:6" ht="25.5" customHeight="1" x14ac:dyDescent="0.2">
      <c r="A13" s="9" t="s">
        <v>138</v>
      </c>
      <c r="D13" s="27">
        <v>1</v>
      </c>
      <c r="E13" s="18">
        <f>D12*12*Assumptions!$B$13*D13</f>
        <v>1047619.0476190476</v>
      </c>
      <c r="F13" s="11" t="s">
        <v>139</v>
      </c>
    </row>
    <row r="14" spans="1:6" ht="15" customHeight="1" x14ac:dyDescent="0.2">
      <c r="A14" s="28" t="s">
        <v>140</v>
      </c>
      <c r="D14" s="27">
        <v>0.7</v>
      </c>
      <c r="E14" s="29">
        <f>D12*12*Assumptions!$B$13*D14</f>
        <v>733333.33333333326</v>
      </c>
      <c r="F14" s="11"/>
    </row>
    <row r="15" spans="1:6" ht="15" customHeight="1" x14ac:dyDescent="0.2">
      <c r="A15" s="9" t="s">
        <v>141</v>
      </c>
      <c r="D15" s="27">
        <v>0.5</v>
      </c>
      <c r="E15" s="18">
        <f>D12*12*Assumptions!$B$13*D15</f>
        <v>523809.52380952379</v>
      </c>
    </row>
    <row r="17" spans="1:6" ht="15" customHeight="1" x14ac:dyDescent="0.2">
      <c r="A17" s="3" t="s">
        <v>142</v>
      </c>
    </row>
    <row r="18" spans="1:6" ht="15" customHeight="1" x14ac:dyDescent="0.2">
      <c r="A18" s="2" t="s">
        <v>83</v>
      </c>
      <c r="B18" s="2"/>
      <c r="C18" s="2"/>
      <c r="D18" s="2"/>
      <c r="E18" s="2" t="s">
        <v>143</v>
      </c>
      <c r="F18" s="2" t="s">
        <v>52</v>
      </c>
    </row>
    <row r="19" spans="1:6" ht="15" customHeight="1" x14ac:dyDescent="0.2">
      <c r="A19" s="4" t="s">
        <v>144</v>
      </c>
      <c r="E19" s="5">
        <v>0</v>
      </c>
      <c r="F19" s="6" t="s">
        <v>145</v>
      </c>
    </row>
    <row r="20" spans="1:6" ht="15" customHeight="1" x14ac:dyDescent="0.2">
      <c r="A20" s="4" t="s">
        <v>146</v>
      </c>
      <c r="E20" s="5">
        <v>0</v>
      </c>
      <c r="F20" s="6" t="s">
        <v>147</v>
      </c>
    </row>
    <row r="21" spans="1:6" ht="51.75" customHeight="1" x14ac:dyDescent="0.2">
      <c r="A21" s="4" t="s">
        <v>148</v>
      </c>
      <c r="E21" s="5">
        <v>0</v>
      </c>
      <c r="F21" s="6" t="s">
        <v>149</v>
      </c>
    </row>
    <row r="22" spans="1:6" ht="15" customHeight="1" x14ac:dyDescent="0.2">
      <c r="A22" s="19" t="s">
        <v>150</v>
      </c>
      <c r="E22" s="30">
        <f>SUM(E19:E21)</f>
        <v>0</v>
      </c>
    </row>
    <row r="23" spans="1:6" ht="42.75" customHeight="1" x14ac:dyDescent="0.2">
      <c r="A23" s="4" t="s">
        <v>151</v>
      </c>
      <c r="E23" s="5">
        <v>0</v>
      </c>
      <c r="F23" s="6" t="s">
        <v>160</v>
      </c>
    </row>
    <row r="24" spans="1:6" ht="26" customHeight="1" x14ac:dyDescent="0.2">
      <c r="A24" s="19" t="s">
        <v>152</v>
      </c>
      <c r="E24" s="20">
        <f>E14+E22+E23</f>
        <v>733333.33333333326</v>
      </c>
      <c r="F24" s="11" t="s">
        <v>153</v>
      </c>
    </row>
    <row r="25" spans="1:6" ht="15" customHeight="1" x14ac:dyDescent="0.2">
      <c r="A25" s="4" t="s">
        <v>154</v>
      </c>
      <c r="E25" s="8">
        <f>E24*Assumptions!$B$16</f>
        <v>439999.99999999994</v>
      </c>
      <c r="F25" s="6" t="s">
        <v>161</v>
      </c>
    </row>
    <row r="27" spans="1:6" ht="15" customHeight="1" x14ac:dyDescent="0.2">
      <c r="A27" s="3" t="s">
        <v>155</v>
      </c>
    </row>
    <row r="28" spans="1:6" ht="25.5" customHeight="1" x14ac:dyDescent="0.2">
      <c r="A28" s="4" t="s">
        <v>156</v>
      </c>
      <c r="E28" s="16">
        <f>'Cost Model'!E17</f>
        <v>721628.96825396817</v>
      </c>
    </row>
    <row r="29" spans="1:6" ht="25.5" customHeight="1" x14ac:dyDescent="0.2">
      <c r="A29" s="4" t="s">
        <v>157</v>
      </c>
      <c r="E29" s="16">
        <f>'Cost Model'!E34</f>
        <v>1167738.0952380951</v>
      </c>
    </row>
    <row r="30" spans="1:6" ht="26" customHeight="1" x14ac:dyDescent="0.2">
      <c r="A30" s="19" t="s">
        <v>158</v>
      </c>
      <c r="E30" s="30">
        <f>E24-E29</f>
        <v>-434404.76190476189</v>
      </c>
      <c r="F30" s="6"/>
    </row>
    <row r="31" spans="1:6" ht="21.75" customHeight="1" x14ac:dyDescent="0.2">
      <c r="A31" s="19" t="s">
        <v>159</v>
      </c>
      <c r="E31" s="31" t="str">
        <f>IF(E30&lt;=0,"Never recovered",E28/E30*12)</f>
        <v>Never recovered</v>
      </c>
      <c r="F31" s="6" t="s">
        <v>162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Cost Model</vt:lpstr>
      <vt:lpstr>Benefits &amp; 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x59078@365mmt.com</cp:lastModifiedBy>
  <cp:revision>0</cp:revision>
  <dcterms:created xsi:type="dcterms:W3CDTF">2026-09-06T18:20:38Z</dcterms:created>
  <dcterms:modified xsi:type="dcterms:W3CDTF">2026-09-06T19:11:13Z</dcterms:modified>
  <dc:language>en-US</dc:language>
</cp:coreProperties>
</file>